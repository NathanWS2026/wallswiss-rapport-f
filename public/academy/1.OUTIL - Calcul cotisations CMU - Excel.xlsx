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WallSwiss\WallSwiss SA\2.Boite à outils WallSwiss\3.CMU-LAMal--- ici\2.CORRECTION CMU\"/>
    </mc:Choice>
  </mc:AlternateContent>
  <xr:revisionPtr revIDLastSave="0" documentId="13_ncr:1_{E559A3E4-28C0-4509-B7F8-998D58D2EDE7}" xr6:coauthVersionLast="47" xr6:coauthVersionMax="47" xr10:uidLastSave="{00000000-0000-0000-0000-000000000000}"/>
  <bookViews>
    <workbookView xWindow="-98" yWindow="-98" windowWidth="20715" windowHeight="13155" xr2:uid="{FE163ACD-B895-4DD3-9256-38CC6E9ACB87}"/>
  </bookViews>
  <sheets>
    <sheet name="Calcul cotisations CM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M8" i="1" s="1"/>
  <c r="K13" i="1"/>
  <c r="M13" i="1" s="1"/>
  <c r="K12" i="1"/>
  <c r="M12" i="1" s="1"/>
  <c r="K11" i="1"/>
  <c r="M11" i="1" s="1"/>
  <c r="K10" i="1"/>
  <c r="M10" i="1" s="1"/>
  <c r="K9" i="1"/>
  <c r="M9" i="1" s="1"/>
</calcChain>
</file>

<file path=xl/sharedStrings.xml><?xml version="1.0" encoding="utf-8"?>
<sst xmlns="http://schemas.openxmlformats.org/spreadsheetml/2006/main" count="17" uniqueCount="17">
  <si>
    <t xml:space="preserve">CALCUL COTISATIONS CMU sur les 5 dernières années </t>
  </si>
  <si>
    <t>Cotisations CMU payée en</t>
  </si>
  <si>
    <t>Avis d'impôts</t>
  </si>
  <si>
    <t>Sur revenus</t>
  </si>
  <si>
    <t>Salaire</t>
  </si>
  <si>
    <t>Charges déductibles</t>
  </si>
  <si>
    <t>Autre revenus</t>
  </si>
  <si>
    <t>Charges déductible</t>
  </si>
  <si>
    <t>Projections CMU</t>
  </si>
  <si>
    <t>Réellement payées</t>
  </si>
  <si>
    <t>Retour pour le client</t>
  </si>
  <si>
    <t>Abattement forfaitaire CNTFS</t>
  </si>
  <si>
    <t xml:space="preserve">Honoraires par année rectifiée : </t>
  </si>
  <si>
    <t>Nous pouvons revenir sur les 3 dernières années de manière sûre, mais les corrections de la 4ème et 5ème année sont à l'appréciation de l'URSSAF.</t>
  </si>
  <si>
    <t>Célibataire</t>
  </si>
  <si>
    <t>Couple marié</t>
  </si>
  <si>
    <r>
      <t>Attention :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le calcul du retour est une estimation basée sur les documents et informations que vous nous avez transmis </t>
    </r>
    <r>
      <rPr>
        <u/>
        <sz val="11"/>
        <color theme="1"/>
        <rFont val="Calibri"/>
        <family val="2"/>
        <scheme val="minor"/>
      </rPr>
      <t>et</t>
    </r>
    <r>
      <rPr>
        <sz val="11"/>
        <color theme="1"/>
        <rFont val="Calibri"/>
        <family val="2"/>
        <scheme val="minor"/>
      </rPr>
      <t xml:space="preserve"> sous réserve d’acceptation de l’URSAFF.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</si>
</sst>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[$€-40C]_-;\-* #,##0\ [$€-40C]_-;_-* &quot;-&quot;??\ [$€-40C]_-;_-@_-"/>
    <numFmt numFmtId="165" formatCode="_-* #,##0\ [$CHF-100C]_-;\-* #,##0\ [$CHF-100C]_-;_-* &quot;-&quot;??\ [$CHF-100C]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8B5C"/>
        <bgColor indexed="64"/>
      </patternFill>
    </fill>
    <fill>
      <patternFill patternType="solid">
        <fgColor rgb="FFDAD3C0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164" fontId="0" fillId="3" borderId="17" xfId="1" applyNumberFormat="1" applyFont="1" applyFill="1" applyBorder="1" applyAlignment="1">
      <alignment horizontal="center"/>
    </xf>
    <xf numFmtId="0" fontId="5" fillId="0" borderId="13" xfId="0" applyFont="1" applyBorder="1"/>
    <xf numFmtId="0" fontId="5" fillId="0" borderId="0" xfId="0" applyFont="1"/>
    <xf numFmtId="165" fontId="0" fillId="3" borderId="17" xfId="1" applyNumberFormat="1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26F5-0014-4913-AD95-3BD7D2ED3313}">
  <dimension ref="D1:M22"/>
  <sheetViews>
    <sheetView tabSelected="1" topLeftCell="A5" workbookViewId="0">
      <selection activeCell="D2" sqref="D2:M3"/>
    </sheetView>
  </sheetViews>
  <sheetFormatPr baseColWidth="10" defaultColWidth="9.59765625" defaultRowHeight="14.25" x14ac:dyDescent="0.45"/>
  <cols>
    <col min="3" max="3" width="8.796875" customWidth="1"/>
    <col min="4" max="4" width="14.6640625" customWidth="1"/>
    <col min="5" max="5" width="13.53125" customWidth="1"/>
    <col min="6" max="7" width="13.1328125" bestFit="1" customWidth="1"/>
    <col min="8" max="8" width="12.6640625" customWidth="1"/>
    <col min="9" max="9" width="12.06640625" bestFit="1" customWidth="1"/>
    <col min="10" max="10" width="11.6640625" customWidth="1"/>
    <col min="11" max="11" width="10.9296875" customWidth="1"/>
    <col min="12" max="12" width="11.53125" customWidth="1"/>
    <col min="13" max="13" width="14.33203125" customWidth="1"/>
  </cols>
  <sheetData>
    <row r="1" spans="4:13" ht="14.65" thickBot="1" x14ac:dyDescent="0.5">
      <c r="J1" s="1"/>
      <c r="K1" s="1"/>
    </row>
    <row r="2" spans="4:13" x14ac:dyDescent="0.45">
      <c r="D2" s="30" t="s">
        <v>0</v>
      </c>
      <c r="E2" s="31"/>
      <c r="F2" s="31"/>
      <c r="G2" s="31"/>
      <c r="H2" s="31"/>
      <c r="I2" s="31"/>
      <c r="J2" s="31"/>
      <c r="K2" s="31"/>
      <c r="L2" s="31"/>
      <c r="M2" s="32"/>
    </row>
    <row r="3" spans="4:13" ht="14.65" thickBot="1" x14ac:dyDescent="0.5">
      <c r="D3" s="33"/>
      <c r="E3" s="34"/>
      <c r="F3" s="34"/>
      <c r="G3" s="34"/>
      <c r="H3" s="34"/>
      <c r="I3" s="34"/>
      <c r="J3" s="34"/>
      <c r="K3" s="34"/>
      <c r="L3" s="34"/>
      <c r="M3" s="35"/>
    </row>
    <row r="4" spans="4:13" x14ac:dyDescent="0.45">
      <c r="J4" s="1"/>
      <c r="K4" s="1"/>
    </row>
    <row r="5" spans="4:13" x14ac:dyDescent="0.45">
      <c r="J5" s="1"/>
      <c r="K5" s="1"/>
    </row>
    <row r="6" spans="4:13" ht="14.65" thickBot="1" x14ac:dyDescent="0.5">
      <c r="J6" s="1"/>
      <c r="K6" s="1"/>
    </row>
    <row r="7" spans="4:13" s="5" customFormat="1" ht="31.5" x14ac:dyDescent="0.45">
      <c r="D7" s="2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4" t="s">
        <v>10</v>
      </c>
    </row>
    <row r="8" spans="4:13" s="5" customFormat="1" x14ac:dyDescent="0.45">
      <c r="D8" s="6">
        <v>2024</v>
      </c>
      <c r="E8" s="7">
        <v>2023</v>
      </c>
      <c r="F8" s="7">
        <v>2022</v>
      </c>
      <c r="G8" s="8">
        <v>0</v>
      </c>
      <c r="H8" s="8">
        <v>0</v>
      </c>
      <c r="I8" s="8">
        <v>0</v>
      </c>
      <c r="J8" s="8">
        <v>0</v>
      </c>
      <c r="K8" s="8">
        <f>(((G8-H8)+(I8-J8))-F$16)*(1-0.92)</f>
        <v>-822.71999999999957</v>
      </c>
      <c r="L8" s="8">
        <v>0</v>
      </c>
      <c r="M8" s="9">
        <f>L8-K8</f>
        <v>822.71999999999957</v>
      </c>
    </row>
    <row r="9" spans="4:13" x14ac:dyDescent="0.45">
      <c r="D9" s="6">
        <v>2023</v>
      </c>
      <c r="E9" s="7">
        <v>2022</v>
      </c>
      <c r="F9" s="7">
        <v>2021</v>
      </c>
      <c r="G9" s="8">
        <v>0</v>
      </c>
      <c r="H9" s="8">
        <v>0</v>
      </c>
      <c r="I9" s="8">
        <v>0</v>
      </c>
      <c r="J9" s="8">
        <v>0</v>
      </c>
      <c r="K9" s="8">
        <f>(((G9-H9)+(I9-J9))-F$16)*(1-0.92)</f>
        <v>-822.71999999999957</v>
      </c>
      <c r="L9" s="8">
        <v>0</v>
      </c>
      <c r="M9" s="9">
        <f>L9-K9</f>
        <v>822.71999999999957</v>
      </c>
    </row>
    <row r="10" spans="4:13" x14ac:dyDescent="0.45">
      <c r="D10" s="6">
        <v>2022</v>
      </c>
      <c r="E10" s="7">
        <v>2021</v>
      </c>
      <c r="F10" s="7">
        <v>2020</v>
      </c>
      <c r="G10" s="8">
        <v>0</v>
      </c>
      <c r="H10" s="8">
        <v>0</v>
      </c>
      <c r="I10" s="8">
        <v>0</v>
      </c>
      <c r="J10" s="8">
        <v>0</v>
      </c>
      <c r="K10" s="8">
        <f t="shared" ref="K10:K13" si="0">(((G10-H10)+(I10-J10))-F$16)*(1-0.92)</f>
        <v>-822.71999999999957</v>
      </c>
      <c r="L10" s="8">
        <v>0</v>
      </c>
      <c r="M10" s="9">
        <f t="shared" ref="M10:M13" si="1">L10-K10</f>
        <v>822.71999999999957</v>
      </c>
    </row>
    <row r="11" spans="4:13" x14ac:dyDescent="0.45">
      <c r="D11" s="6">
        <v>2021</v>
      </c>
      <c r="E11" s="7">
        <v>2020</v>
      </c>
      <c r="F11" s="7">
        <v>2019</v>
      </c>
      <c r="G11" s="8"/>
      <c r="H11" s="8"/>
      <c r="I11" s="8"/>
      <c r="J11" s="8"/>
      <c r="K11" s="8">
        <f t="shared" si="0"/>
        <v>-822.71999999999957</v>
      </c>
      <c r="L11" s="8"/>
      <c r="M11" s="9">
        <f t="shared" si="1"/>
        <v>822.71999999999957</v>
      </c>
    </row>
    <row r="12" spans="4:13" x14ac:dyDescent="0.45">
      <c r="D12" s="6">
        <v>2020</v>
      </c>
      <c r="E12" s="7">
        <v>2019</v>
      </c>
      <c r="F12" s="7">
        <v>2018</v>
      </c>
      <c r="G12" s="8"/>
      <c r="H12" s="8"/>
      <c r="I12" s="8"/>
      <c r="J12" s="8"/>
      <c r="K12" s="8">
        <f t="shared" si="0"/>
        <v>-822.71999999999957</v>
      </c>
      <c r="L12" s="8"/>
      <c r="M12" s="9">
        <f t="shared" si="1"/>
        <v>822.71999999999957</v>
      </c>
    </row>
    <row r="13" spans="4:13" x14ac:dyDescent="0.45">
      <c r="D13" s="6">
        <v>2019</v>
      </c>
      <c r="E13" s="7">
        <v>2018</v>
      </c>
      <c r="F13" s="7">
        <v>2017</v>
      </c>
      <c r="G13" s="8"/>
      <c r="H13" s="8"/>
      <c r="I13" s="8"/>
      <c r="J13" s="8"/>
      <c r="K13" s="8">
        <f t="shared" si="0"/>
        <v>-822.71999999999957</v>
      </c>
      <c r="L13" s="8"/>
      <c r="M13" s="9">
        <f t="shared" si="1"/>
        <v>822.71999999999957</v>
      </c>
    </row>
    <row r="14" spans="4:13" x14ac:dyDescent="0.45">
      <c r="D14" s="10"/>
      <c r="M14" s="11"/>
    </row>
    <row r="15" spans="4:13" ht="14.65" thickBot="1" x14ac:dyDescent="0.5">
      <c r="D15" s="10"/>
      <c r="M15" s="11"/>
    </row>
    <row r="16" spans="4:13" ht="16.149999999999999" thickBot="1" x14ac:dyDescent="0.55000000000000004">
      <c r="D16" s="16" t="s">
        <v>11</v>
      </c>
      <c r="E16" s="17"/>
      <c r="F16" s="12">
        <v>10284</v>
      </c>
      <c r="M16" s="11"/>
    </row>
    <row r="17" spans="4:13" ht="14.65" thickBot="1" x14ac:dyDescent="0.5">
      <c r="D17" s="10"/>
      <c r="M17" s="11"/>
    </row>
    <row r="18" spans="4:13" ht="16.149999999999999" thickBot="1" x14ac:dyDescent="0.55000000000000004">
      <c r="D18" s="13" t="s">
        <v>12</v>
      </c>
      <c r="E18" s="14"/>
      <c r="F18" s="14"/>
      <c r="H18" s="18" t="s">
        <v>13</v>
      </c>
      <c r="I18" s="19"/>
      <c r="J18" s="20"/>
      <c r="M18" s="11"/>
    </row>
    <row r="19" spans="4:13" ht="16.149999999999999" thickBot="1" x14ac:dyDescent="0.55000000000000004">
      <c r="D19" s="16" t="s">
        <v>14</v>
      </c>
      <c r="E19" s="17"/>
      <c r="F19" s="15">
        <v>60</v>
      </c>
      <c r="H19" s="21"/>
      <c r="I19" s="22"/>
      <c r="J19" s="23"/>
      <c r="M19" s="11"/>
    </row>
    <row r="20" spans="4:13" ht="16.149999999999999" thickBot="1" x14ac:dyDescent="0.55000000000000004">
      <c r="D20" s="16" t="s">
        <v>15</v>
      </c>
      <c r="E20" s="17"/>
      <c r="F20" s="15">
        <v>100</v>
      </c>
      <c r="H20" s="24"/>
      <c r="I20" s="25"/>
      <c r="J20" s="26"/>
      <c r="M20" s="11"/>
    </row>
    <row r="21" spans="4:13" ht="14.65" thickBot="1" x14ac:dyDescent="0.5">
      <c r="D21" s="10"/>
      <c r="M21" s="11"/>
    </row>
    <row r="22" spans="4:13" ht="14.65" thickBot="1" x14ac:dyDescent="0.5">
      <c r="D22" s="27" t="s">
        <v>16</v>
      </c>
      <c r="E22" s="28"/>
      <c r="F22" s="28"/>
      <c r="G22" s="28"/>
      <c r="H22" s="28"/>
      <c r="I22" s="28"/>
      <c r="J22" s="28"/>
      <c r="K22" s="28"/>
      <c r="L22" s="28"/>
      <c r="M22" s="29"/>
    </row>
  </sheetData>
  <mergeCells count="6">
    <mergeCell ref="D22:M22"/>
    <mergeCell ref="D2:M3"/>
    <mergeCell ref="D16:E16"/>
    <mergeCell ref="H18:J20"/>
    <mergeCell ref="D19:E19"/>
    <mergeCell ref="D20:E20"/>
  </mergeCells>
  <conditionalFormatting sqref="M8:M1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 cotisations CMU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Clarisse Duval</dc:creator>
  <cp:lastModifiedBy>Pierrick .</cp:lastModifiedBy>
  <dcterms:created xsi:type="dcterms:W3CDTF">2023-09-24T20:42:08Z</dcterms:created>
  <dcterms:modified xsi:type="dcterms:W3CDTF">2024-09-24T10:20:51Z</dcterms:modified>
</cp:coreProperties>
</file>